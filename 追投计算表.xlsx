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2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<sst xmlns="http://schemas.openxmlformats.org/spreadsheetml/2006/main" count="9" uniqueCount="9">
  <si>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已跑时长</t>
  </si>
  <si>
    <t>金额</t>
  </si>
  <si>
    <t>投放时长</t>
  </si>
  <si>
    <t>剩余金额</t>
  </si>
  <si>
    <t>分钟平均消耗</t>
  </si>
  <si>
    <t>5分钟消耗</t>
  </si>
  <si>
    <t>合计消耗</t>
  </si>
  <si>
    <t>开播前投放金额</t>
  </si>
  <si>
    <t>本次追投金额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</si>
</sst>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D5" sqref="D5"/>
    </sheetView>
  </sheetViews>
  <sheetFormatPr defaultColWidth="9.23076923076923" defaultRowHeight="16.8" outlineLevelRow="2" outlineLevelCol="7"/>
  <cols>
    <col min="1" max="1" width="17.4711538461538" customWidth="1"/>
    <col min="2" max="3" width="10.7307692307692" customWidth="1"/>
    <col min="5" max="5" width="10.7307692307692" customWidth="1"/>
    <col min="6" max="6" width="17.4711538461538" customWidth="1"/>
    <col min="7" max="7" width="12.9230769230769"/>
    <col min="8" max="8" width="10.3076923076923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1</v>
      </c>
      <c r="C2">
        <v>1000</v>
      </c>
      <c r="D2">
        <v>2</v>
      </c>
      <c r="E2">
        <f>C2/D2*(D2-B2)</f>
        <v>500</v>
      </c>
      <c r="F2">
        <f>C2/D2/60</f>
        <v>8.33333333333333</v>
      </c>
      <c r="G2">
        <f>F2*5</f>
        <v>41.6666666666667</v>
      </c>
    </row>
    <row r="3" spans="1:8">
      <c r="A3" t="s">
        <v>8</v>
      </c>
      <c r="B3"/>
      <c r="C3">
        <v>500</v>
      </c>
      <c r="D3">
        <v>1</v>
      </c>
      <c r="E3">
        <f>E2+C3</f>
        <v>1000</v>
      </c>
      <c r="F3">
        <f>E3/(B2+D3)/60</f>
        <v>8.33333333333333</v>
      </c>
      <c r="G3">
        <f>F3*5</f>
        <v>41.6666666666667</v>
      </c>
      <c r="H3">
        <f>(C2-E2)+((C3+E2)/(D3+B2))</f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kago</dc:creator>
  <cp:lastModifiedBy>马敬开</cp:lastModifiedBy>
  <dcterms:created xsi:type="dcterms:W3CDTF">2026-02-06T14:04:49Z</dcterms:created>
  <dcterms:modified xsi:type="dcterms:W3CDTF">2026-02-06T14:50:20Z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759F8691EF0385E28184856906AAE310_41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